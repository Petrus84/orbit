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xecutivo" sheetId="1" state="visible" r:id="rId1"/>
    <sheet xmlns:r="http://schemas.openxmlformats.org/officeDocument/2006/relationships" name="Premissas_v5.0" sheetId="2" state="visible" r:id="rId2"/>
    <sheet xmlns:r="http://schemas.openxmlformats.org/officeDocument/2006/relationships" name="Portfolio_SKUs_Otimizado" sheetId="3" state="visible" r:id="rId3"/>
    <sheet xmlns:r="http://schemas.openxmlformats.org/officeDocument/2006/relationships" name="DRE_Mensal_Otimizado" sheetId="4" state="visible" r:id="rId4"/>
    <sheet xmlns:r="http://schemas.openxmlformats.org/officeDocument/2006/relationships" name="Fluxo_de_Caixa_Otimizado" sheetId="5" state="visible" r:id="rId5"/>
    <sheet xmlns:r="http://schemas.openxmlformats.org/officeDocument/2006/relationships" name="Regime_Tributá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b val="1"/>
      <color rgb="001F4E79"/>
      <sz val="14"/>
    </font>
    <font>
      <b val="1"/>
    </font>
    <font>
      <i val="1"/>
    </font>
    <font>
      <b val="1"/>
      <color rgb="00FFFFFF"/>
      <sz val="11"/>
    </font>
    <font>
      <b val="1"/>
      <color rgb="00006600"/>
      <sz val="12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6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0" fontId="0" fillId="3" borderId="1" pivotButton="0" quotePrefix="0" xfId="0"/>
    <xf numFmtId="164" fontId="0" fillId="0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4" fillId="0" borderId="1" pivotButton="0" quotePrefix="0" xfId="0"/>
    <xf numFmtId="164" fontId="4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RESUMO EXECUTIVO — CPIMPORTSTORE v5.0 (OTIMIZADO)</t>
        </is>
      </c>
    </row>
    <row r="3">
      <c r="A3" s="2" t="inlineStr">
        <is>
          <t>Projeto: Dogativo | LifeGain | Período: Ago–Dez 2026</t>
        </is>
      </c>
    </row>
    <row r="5">
      <c r="A5" s="3" t="inlineStr">
        <is>
          <t>SITUAÇÃO REAL (Ago–Dez 2026) — VERSÃO OTIMIZADA COM CUSTOS ALIEXPRESS</t>
        </is>
      </c>
    </row>
    <row r="7">
      <c r="A7" t="inlineStr">
        <is>
          <t>Regime Tributário: HÍBRIDO</t>
        </is>
      </c>
    </row>
    <row r="8">
      <c r="A8" t="inlineStr">
        <is>
          <t>• Ago–Set 2026: PF sem CNPJ (15% imposto sobre lucro operacional)</t>
        </is>
      </c>
    </row>
    <row r="9">
      <c r="A9" t="inlineStr">
        <is>
          <t>• Out–Dez 2026: CNPJ/Simples Nacional (4% imposto sobre receita bruta)</t>
        </is>
      </c>
    </row>
    <row r="10">
      <c r="A10" t="inlineStr">
        <is>
          <t>→ Diferença: ~11 pontos percentuais a favor do CNPJ</t>
        </is>
      </c>
    </row>
    <row r="12">
      <c r="A12" s="4" t="inlineStr">
        <is>
          <t>Investimentos já Realizados (Pagos)</t>
        </is>
      </c>
    </row>
    <row r="13">
      <c r="A13" t="inlineStr">
        <is>
          <t>• Programa Decola ML: R$250,00 (crédito para Ads)</t>
        </is>
      </c>
    </row>
    <row r="14">
      <c r="A14" t="inlineStr">
        <is>
          <t>• Shopify Basic: R$99,00/mês (5 meses = R$495)</t>
        </is>
      </c>
    </row>
    <row r="15">
      <c r="A15" t="inlineStr">
        <is>
          <t>• Total desembolsado: R$745,00</t>
        </is>
      </c>
    </row>
    <row r="17">
      <c r="A17" s="4" t="inlineStr">
        <is>
          <t>Dados do Modelo (OTIMIZADO)</t>
        </is>
      </c>
    </row>
    <row r="18">
      <c r="A18" t="inlineStr">
        <is>
          <t>• 8 SKUs aprovados (MOQ=1, status: APROVADO - SUBIR)</t>
        </is>
      </c>
    </row>
    <row r="19">
      <c r="A19" t="inlineStr">
        <is>
          <t>• Preço médio: R$258,15</t>
        </is>
      </c>
    </row>
    <row r="20">
      <c r="A20" t="inlineStr">
        <is>
          <t>• Custo médio NOVO: R$68,50 (redução de ~48% vs R$131,02 original)</t>
        </is>
      </c>
    </row>
    <row r="21">
      <c r="A21" t="inlineStr">
        <is>
          <t>• Margem bruta NOVA: ~73,5% (vs 49,25% original)</t>
        </is>
      </c>
    </row>
    <row r="22">
      <c r="A22" t="inlineStr">
        <is>
          <t>• Rampa: 55→60→70→78→85 unidades/mês (total 348)</t>
        </is>
      </c>
    </row>
    <row r="23">
      <c r="A23" t="inlineStr">
        <is>
          <t>• Canal: Shopify (high-margin) + Shopee + ML Orgânico</t>
        </is>
      </c>
    </row>
    <row r="25">
      <c r="A25" s="4" t="inlineStr">
        <is>
          <t>Resultado Esperado (Cenário Base OTIMIZADO)</t>
        </is>
      </c>
    </row>
    <row r="26">
      <c r="A26" t="inlineStr">
        <is>
          <t>Receita Total (Ago–Dez): R$ 89.836,20</t>
        </is>
      </c>
    </row>
    <row r="27">
      <c r="A27" t="inlineStr">
        <is>
          <t>Lucro Líquido: R$ 52.316,20 (↑ vs R$43.967 original)</t>
        </is>
      </c>
    </row>
    <row r="28">
      <c r="A28" t="inlineStr">
        <is>
          <t>Caixa Final (Dez): R$ 61.025,10</t>
        </is>
      </c>
    </row>
    <row r="29">
      <c r="A29" t="inlineStr">
        <is>
          <t>ROI: ~6.100%+ (sobre R$1.000 inicial)</t>
        </is>
      </c>
    </row>
    <row r="30">
      <c r="A30" t="inlineStr">
        <is>
          <t>Status: VIÁVEL E MAIS LUCRATIVO</t>
        </is>
      </c>
    </row>
    <row r="32">
      <c r="A32" s="4" t="inlineStr">
        <is>
          <t>Validações</t>
        </is>
      </c>
    </row>
    <row r="33">
      <c r="A33" t="inlineStr">
        <is>
          <t>Caixa nunca fica negativa</t>
        </is>
      </c>
    </row>
    <row r="34">
      <c r="A34" t="inlineStr">
        <is>
          <t>Rampa progressiva</t>
        </is>
      </c>
    </row>
    <row r="35">
      <c r="A35" t="inlineStr">
        <is>
          <t>Receita &gt; Custos</t>
        </is>
      </c>
    </row>
    <row r="36">
      <c r="A36" t="inlineStr">
        <is>
          <t>Lucro Líquido &gt; 0</t>
        </is>
      </c>
    </row>
    <row r="37">
      <c r="A37" t="inlineStr">
        <is>
          <t>Custos atualizados com AliExpress (títulos confiantes)</t>
        </is>
      </c>
    </row>
    <row r="39">
      <c r="A39" s="5" t="inlineStr">
        <is>
          <t>Estratégia Shopify: Foco em produtos com margem bruta &gt;65% para sustentar CAC razoável (R$15-30)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3" t="inlineStr">
        <is>
          <t>PREMISSAS v5.0 — FONTE ÚNICA DA VERDADE (OTIMIZADA)</t>
        </is>
      </c>
    </row>
    <row r="3">
      <c r="A3" s="4" t="inlineStr">
        <is>
          <t>REGIME TRIBUTÁRIO (HÍBRIDO)</t>
        </is>
      </c>
    </row>
    <row r="4">
      <c r="A4" t="inlineStr">
        <is>
          <t>Regime Ago-Set 2026</t>
        </is>
      </c>
      <c r="B4" t="inlineStr">
        <is>
          <t>PF sem CNPJ</t>
        </is>
      </c>
      <c r="C4" t="inlineStr">
        <is>
          <t>15% imposto sobre lucro operacional</t>
        </is>
      </c>
    </row>
    <row r="5">
      <c r="A5" t="inlineStr">
        <is>
          <t>Alíquota Ago-Set</t>
        </is>
      </c>
      <c r="B5" t="n">
        <v>0.15</v>
      </c>
    </row>
    <row r="6">
      <c r="A6" t="inlineStr">
        <is>
          <t>Regime Out-Dez 2026</t>
        </is>
      </c>
      <c r="B6" t="inlineStr">
        <is>
          <t>CNPJ/Simples</t>
        </is>
      </c>
      <c r="C6" t="inlineStr">
        <is>
          <t>4% imposto sobre receita bruta</t>
        </is>
      </c>
    </row>
    <row r="7">
      <c r="A7" t="inlineStr">
        <is>
          <t>Alíquota Out-Dez</t>
        </is>
      </c>
      <c r="B7" t="n">
        <v>0.04</v>
      </c>
    </row>
    <row r="9">
      <c r="A9" s="4" t="inlineStr">
        <is>
          <t>INVESTIMENTOS (JÁ REALIZADOS)</t>
        </is>
      </c>
    </row>
    <row r="10">
      <c r="A10" t="inlineStr">
        <is>
          <t>Caixa Inicial</t>
        </is>
      </c>
      <c r="B10" s="6" t="n">
        <v>1000</v>
      </c>
      <c r="C10" t="inlineStr">
        <is>
          <t>Célula amarela (você edita)</t>
        </is>
      </c>
    </row>
    <row r="11">
      <c r="A11" t="inlineStr">
        <is>
          <t>Programa Decola ML</t>
        </is>
      </c>
      <c r="B11" t="n">
        <v>250</v>
      </c>
      <c r="C11" t="inlineStr">
        <is>
          <t>Já pago — consumo R$125/mês (Ago-Set)</t>
        </is>
      </c>
    </row>
    <row r="12">
      <c r="A12" t="inlineStr">
        <is>
          <t>Shopify Basic</t>
        </is>
      </c>
      <c r="B12" t="n">
        <v>99</v>
      </c>
      <c r="C12" t="inlineStr">
        <is>
          <t>R$/mês</t>
        </is>
      </c>
    </row>
    <row r="14">
      <c r="A14" s="4" t="inlineStr">
        <is>
          <t>PREÇOS E CUSTOS (OTIMIZADOS COM ALIEXPRESS)</t>
        </is>
      </c>
    </row>
    <row r="15">
      <c r="A15" t="inlineStr">
        <is>
          <t>Preço Médio Shopify (8 SKUs)</t>
        </is>
      </c>
      <c r="B15" t="n">
        <v>258.15</v>
      </c>
    </row>
    <row r="16">
      <c r="A16" t="inlineStr">
        <is>
          <t>Custo Médio Produto NOVO</t>
        </is>
      </c>
      <c r="B16" s="7" t="n">
        <v>68.5</v>
      </c>
      <c r="C16" t="inlineStr">
        <is>
          <t>Redução de 48% vs original 131.02</t>
        </is>
      </c>
    </row>
    <row r="17">
      <c r="A17" t="inlineStr">
        <is>
          <t>Taxa Shopify (Checkout)</t>
        </is>
      </c>
      <c r="B17" t="n">
        <v>0.02</v>
      </c>
    </row>
    <row r="18">
      <c r="A18" t="inlineStr">
        <is>
          <t>Rateio Shopify Fixo</t>
        </is>
      </c>
      <c r="B18" t="n">
        <v>0.5</v>
      </c>
    </row>
    <row r="19">
      <c r="A19" t="inlineStr">
        <is>
          <t>Comissão ML Clássico</t>
        </is>
      </c>
      <c r="B19" t="n">
        <v>0.12</v>
      </c>
    </row>
    <row r="20">
      <c r="A20" t="inlineStr">
        <is>
          <t>Comissão Shopee</t>
        </is>
      </c>
      <c r="B20" t="n">
        <v>0.14</v>
      </c>
    </row>
    <row r="21">
      <c r="A21" t="inlineStr">
        <is>
          <t>Taxa Fixa Shopee</t>
        </is>
      </c>
      <c r="B21" t="n">
        <v>3</v>
      </c>
    </row>
    <row r="23">
      <c r="A23" s="4" t="inlineStr">
        <is>
          <t>DESPESAS FIXAS (MENSAIS)</t>
        </is>
      </c>
    </row>
    <row r="24">
      <c r="A24" t="inlineStr">
        <is>
          <t>Shopify Mensal</t>
        </is>
      </c>
      <c r="B24" t="n">
        <v>99</v>
      </c>
    </row>
    <row r="25">
      <c r="A25" t="inlineStr">
        <is>
          <t>Ads ML (Ago-Set)</t>
        </is>
      </c>
      <c r="B25" t="n">
        <v>125</v>
      </c>
    </row>
    <row r="26">
      <c r="A26" t="inlineStr">
        <is>
          <t>Ads Shopify</t>
        </is>
      </c>
      <c r="B26" t="n">
        <v>0</v>
      </c>
      <c r="C26" t="inlineStr">
        <is>
          <t>Crescimento orgânico + CAC controlado</t>
        </is>
      </c>
    </row>
    <row r="28">
      <c r="A28" s="4" t="inlineStr">
        <is>
          <t>RAMPA DE VENDAS (UNIDADES/MÊS)</t>
        </is>
      </c>
    </row>
    <row r="29">
      <c r="A29" t="inlineStr">
        <is>
          <t>Vendas Agosto</t>
        </is>
      </c>
      <c r="B29" t="n">
        <v>55</v>
      </c>
    </row>
    <row r="30">
      <c r="A30" t="inlineStr">
        <is>
          <t>Vendas Setembro</t>
        </is>
      </c>
      <c r="B30" t="n">
        <v>60</v>
      </c>
    </row>
    <row r="31">
      <c r="A31" t="inlineStr">
        <is>
          <t>Vendas Outubro</t>
        </is>
      </c>
      <c r="B31" t="n">
        <v>70</v>
      </c>
    </row>
    <row r="32">
      <c r="A32" t="inlineStr">
        <is>
          <t>Vendas Novembro</t>
        </is>
      </c>
      <c r="B32" t="n">
        <v>78</v>
      </c>
    </row>
    <row r="33">
      <c r="A33" t="inlineStr">
        <is>
          <t>Vendas Dezembro</t>
        </is>
      </c>
      <c r="B33" t="n">
        <v>85</v>
      </c>
    </row>
    <row r="34">
      <c r="A34" t="inlineStr">
        <is>
          <t>Total (Ago-Dez)</t>
        </is>
      </c>
      <c r="B34" t="n">
        <v>348</v>
      </c>
    </row>
    <row r="36">
      <c r="A36" s="4" t="inlineStr">
        <is>
          <t>TAXA DE CÂMBIO USADA</t>
        </is>
      </c>
    </row>
    <row r="37">
      <c r="A37" t="inlineStr">
        <is>
          <t>USD/BRL</t>
        </is>
      </c>
      <c r="B37" t="n">
        <v>5.15</v>
      </c>
      <c r="C37" t="inlineStr">
        <is>
          <t>Média de mercado Ago/2026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PORTFOLIO — 8 SKUS TIER A — CUSTOS OTIMIZADOS</t>
        </is>
      </c>
    </row>
    <row r="3">
      <c r="A3" s="8" t="inlineStr">
        <is>
          <t>#</t>
        </is>
      </c>
      <c r="B3" s="8" t="inlineStr">
        <is>
          <t>Produto</t>
        </is>
      </c>
      <c r="C3" s="8" t="inlineStr">
        <is>
          <t>Preço Shopify</t>
        </is>
      </c>
      <c r="D3" s="8" t="inlineStr">
        <is>
          <t>Custo Original</t>
        </is>
      </c>
      <c r="E3" s="8" t="inlineStr">
        <is>
          <t>Custo NOVO (AliEx)</t>
        </is>
      </c>
      <c r="F3" s="8" t="inlineStr">
        <is>
          <t>Margem % NOVA</t>
        </is>
      </c>
      <c r="G3" s="8" t="inlineStr">
        <is>
          <t>Canal Recomendado</t>
        </is>
      </c>
      <c r="H3" s="8" t="inlineStr">
        <is>
          <t>Sustenta CAC?</t>
        </is>
      </c>
    </row>
    <row r="4">
      <c r="A4" s="9" t="n">
        <v>1</v>
      </c>
      <c r="B4" s="9" t="inlineStr">
        <is>
          <t>Kit Robótica Educativa WeDo 3.0</t>
        </is>
      </c>
      <c r="C4" s="10" t="n">
        <v>100.9</v>
      </c>
      <c r="D4" s="10" t="n">
        <v>51.36</v>
      </c>
      <c r="E4" s="11" t="n">
        <v>51.36</v>
      </c>
      <c r="F4" s="12" t="n">
        <v>0.4909811694747275</v>
      </c>
      <c r="G4" s="9" t="inlineStr">
        <is>
          <t>Shopee</t>
        </is>
      </c>
      <c r="H4" s="9" t="inlineStr">
        <is>
          <t>Não (margem baixa)</t>
        </is>
      </c>
    </row>
    <row r="5">
      <c r="A5" s="9" t="n">
        <v>2</v>
      </c>
      <c r="B5" s="9" t="inlineStr">
        <is>
          <t>Campainha de Vídeo Inteligente Tuya WiFi</t>
        </is>
      </c>
      <c r="C5" s="10" t="n">
        <v>274.9</v>
      </c>
      <c r="D5" s="10" t="n">
        <v>139.37</v>
      </c>
      <c r="E5" s="11" t="n">
        <v>51.5</v>
      </c>
      <c r="F5" s="12" t="n">
        <v>0.812659148781375</v>
      </c>
      <c r="G5" s="9" t="inlineStr">
        <is>
          <t>Shopify + Shopee</t>
        </is>
      </c>
      <c r="H5" s="9" t="inlineStr">
        <is>
          <t>SIM (alta margem)</t>
        </is>
      </c>
    </row>
    <row r="6">
      <c r="A6" s="9" t="n">
        <v>3</v>
      </c>
      <c r="B6" s="9" t="inlineStr">
        <is>
          <t>Peças de Reposição Premium para BYD Seagull</t>
        </is>
      </c>
      <c r="C6" s="10" t="n">
        <v>288.9</v>
      </c>
      <c r="D6" s="10" t="n">
        <v>146.76</v>
      </c>
      <c r="E6" s="11" t="n">
        <v>146.76</v>
      </c>
      <c r="F6" s="12" t="n">
        <v>0.4920041536863967</v>
      </c>
      <c r="G6" s="9" t="inlineStr">
        <is>
          <t>Shopee</t>
        </is>
      </c>
      <c r="H6" s="9" t="inlineStr">
        <is>
          <t>Não</t>
        </is>
      </c>
    </row>
    <row r="7">
      <c r="A7" s="9" t="n">
        <v>4</v>
      </c>
      <c r="B7" s="9" t="inlineStr">
        <is>
          <t>CarlinKit Adaptador CarPlay Sem Fio Mini</t>
        </is>
      </c>
      <c r="C7" s="10" t="n">
        <v>199.9</v>
      </c>
      <c r="D7" s="10" t="n">
        <v>101.55</v>
      </c>
      <c r="E7" s="11" t="n">
        <v>32.65</v>
      </c>
      <c r="F7" s="12" t="n">
        <v>0.8366683341670835</v>
      </c>
      <c r="G7" s="9" t="inlineStr">
        <is>
          <t>Shopify + Shopee</t>
        </is>
      </c>
      <c r="H7" s="9" t="inlineStr">
        <is>
          <t>SIM</t>
        </is>
      </c>
    </row>
    <row r="8">
      <c r="A8" s="9" t="n">
        <v>5</v>
      </c>
      <c r="B8" s="9" t="inlineStr">
        <is>
          <t>K1A Adaptador CarPlay Sem Fio Mini USB</t>
        </is>
      </c>
      <c r="C8" s="10" t="n">
        <v>253.9</v>
      </c>
      <c r="D8" s="10" t="n">
        <v>128.73</v>
      </c>
      <c r="E8" s="11" t="n">
        <v>40</v>
      </c>
      <c r="F8" s="12" t="n">
        <v>0.8424576604962584</v>
      </c>
      <c r="G8" s="9" t="inlineStr">
        <is>
          <t>Shopify + Shopee</t>
        </is>
      </c>
      <c r="H8" s="9" t="inlineStr">
        <is>
          <t>SIM</t>
        </is>
      </c>
    </row>
    <row r="9">
      <c r="A9" s="9" t="n">
        <v>6</v>
      </c>
      <c r="B9" s="9" t="inlineStr">
        <is>
          <t>Termostato Inteligente WiFi Tuya com Display</t>
        </is>
      </c>
      <c r="C9" s="10" t="n">
        <v>214.9</v>
      </c>
      <c r="D9" s="10" t="n">
        <v>108.95</v>
      </c>
      <c r="E9" s="11" t="n">
        <v>40</v>
      </c>
      <c r="F9" s="12" t="n">
        <v>0.8138669148441136</v>
      </c>
      <c r="G9" s="9" t="inlineStr">
        <is>
          <t>Shopify + Shopee</t>
        </is>
      </c>
      <c r="H9" s="9" t="inlineStr">
        <is>
          <t>SIM</t>
        </is>
      </c>
    </row>
    <row r="10">
      <c r="A10" s="9" t="n">
        <v>7</v>
      </c>
      <c r="B10" s="9" t="inlineStr">
        <is>
          <t>Interruptor Touch Inteligente 3.5 Polegadas</t>
        </is>
      </c>
      <c r="C10" s="10" t="n">
        <v>157.9</v>
      </c>
      <c r="D10" s="10" t="n">
        <v>79.90000000000001</v>
      </c>
      <c r="E10" s="11" t="n">
        <v>30</v>
      </c>
      <c r="F10" s="12" t="n">
        <v>0.8100063331222292</v>
      </c>
      <c r="G10" s="9" t="inlineStr">
        <is>
          <t>Shopify + Shopee</t>
        </is>
      </c>
      <c r="H10" s="9" t="inlineStr">
        <is>
          <t>SIM</t>
        </is>
      </c>
    </row>
    <row r="11">
      <c r="A11" s="9" t="n">
        <v>8</v>
      </c>
      <c r="B11" s="9" t="inlineStr">
        <is>
          <t>Painel de Controle Smart Home Tuya 3.5"</t>
        </is>
      </c>
      <c r="C11" s="10" t="n">
        <v>573.9</v>
      </c>
      <c r="D11" s="10" t="n">
        <v>291.54</v>
      </c>
      <c r="E11" s="11" t="n">
        <v>150</v>
      </c>
      <c r="F11" s="12" t="n">
        <v>0.7386304234187141</v>
      </c>
      <c r="G11" s="9" t="inlineStr">
        <is>
          <t>Shopify</t>
        </is>
      </c>
      <c r="H11" s="9" t="inlineStr">
        <is>
          <t>SIM (premium)</t>
        </is>
      </c>
    </row>
    <row r="13">
      <c r="A13" s="4" t="inlineStr">
        <is>
          <t>AGREGADO OTIMIZADO</t>
        </is>
      </c>
      <c r="C13" s="13" t="n">
        <v>258.15</v>
      </c>
      <c r="E13" s="14" t="n">
        <v>68.5</v>
      </c>
      <c r="F13" s="15" t="n">
        <v>0.7345</v>
      </c>
      <c r="G13" t="inlineStr">
        <is>
          <t>Multi-canal (Shopify prioridade high-margin)</t>
        </is>
      </c>
    </row>
    <row r="15">
      <c r="A15" s="4" t="inlineStr">
        <is>
          <t>Notas sobre custos novos:</t>
        </is>
      </c>
    </row>
    <row r="16">
      <c r="A16" t="inlineStr">
        <is>
          <t>• Campainha, CarlinKit, K1A, Termostato, Interruptor: baseados em AliExpress com título confiante (USD 5.15)</t>
        </is>
      </c>
    </row>
    <row r="17">
      <c r="A17" t="inlineStr">
        <is>
          <t>• Kit Robótica e Peças BYD: mantidos (sem match confiável no scrap)</t>
        </is>
      </c>
    </row>
    <row r="18">
      <c r="A18" t="inlineStr">
        <is>
          <t>• Painel: redução conservadora</t>
        </is>
      </c>
    </row>
    <row r="19">
      <c r="A19" t="inlineStr">
        <is>
          <t>• Estratégia: Shopify para os 5-6 SKUs com margem &gt;65% (sustentam CAC R$15-30)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DRE MENSAL — DEMONSTRATIVO DE RESULTADO OTIMIZADO (Ago-Dez 2026)</t>
        </is>
      </c>
    </row>
    <row r="3">
      <c r="A3" s="8" t="inlineStr">
        <is>
          <t>Linha</t>
        </is>
      </c>
      <c r="B3" s="8" t="inlineStr">
        <is>
          <t>Agosto</t>
        </is>
      </c>
      <c r="C3" s="8" t="inlineStr">
        <is>
          <t>Setembro</t>
        </is>
      </c>
      <c r="D3" s="8" t="inlineStr">
        <is>
          <t>Outubro</t>
        </is>
      </c>
      <c r="E3" s="8" t="inlineStr">
        <is>
          <t>Novembro</t>
        </is>
      </c>
      <c r="F3" s="8" t="inlineStr">
        <is>
          <t>Dezembro</t>
        </is>
      </c>
      <c r="G3" s="8" t="inlineStr">
        <is>
          <t>TOTAL</t>
        </is>
      </c>
    </row>
    <row r="4">
      <c r="A4" s="9" t="inlineStr">
        <is>
          <t>Receita Total</t>
        </is>
      </c>
      <c r="B4" s="10" t="n">
        <v>14198.25</v>
      </c>
      <c r="C4" s="10" t="n">
        <v>15489</v>
      </c>
      <c r="D4" s="10" t="n">
        <v>18070.5</v>
      </c>
      <c r="E4" s="10" t="n">
        <v>20135.7</v>
      </c>
      <c r="F4" s="10" t="n">
        <v>21942.75</v>
      </c>
      <c r="G4" s="10" t="n">
        <v>89836.2</v>
      </c>
    </row>
    <row r="5">
      <c r="A5" s="9" t="inlineStr">
        <is>
          <t>(-) Custo Produto</t>
        </is>
      </c>
      <c r="B5" s="10" t="n">
        <v>3767.5</v>
      </c>
      <c r="C5" s="10" t="n">
        <v>4110</v>
      </c>
      <c r="D5" s="10" t="n">
        <v>4795</v>
      </c>
      <c r="E5" s="10" t="n">
        <v>5343</v>
      </c>
      <c r="F5" s="10" t="n">
        <v>5822.5</v>
      </c>
      <c r="G5" s="10" t="n">
        <v>23838</v>
      </c>
    </row>
    <row r="6">
      <c r="A6" s="9" t="inlineStr">
        <is>
          <t>(-) Taxas/Comissões (Shopify-heavy 8%)</t>
        </is>
      </c>
      <c r="B6" s="10" t="n">
        <v>1218.36</v>
      </c>
      <c r="C6" s="10" t="n">
        <v>1329.12</v>
      </c>
      <c r="D6" s="10" t="n">
        <v>1550.64</v>
      </c>
      <c r="E6" s="10" t="n">
        <v>1727.86</v>
      </c>
      <c r="F6" s="10" t="n">
        <v>1882.92</v>
      </c>
      <c r="G6" s="10" t="n">
        <v>7708.9</v>
      </c>
    </row>
    <row r="7">
      <c r="A7" s="9" t="inlineStr">
        <is>
          <t>(-) Despesas Operacionais</t>
        </is>
      </c>
      <c r="B7" s="10" t="n">
        <v>224</v>
      </c>
      <c r="C7" s="10" t="n">
        <v>224</v>
      </c>
      <c r="D7" s="10" t="n">
        <v>99</v>
      </c>
      <c r="E7" s="10" t="n">
        <v>99</v>
      </c>
      <c r="F7" s="10" t="n">
        <v>99</v>
      </c>
      <c r="G7" s="10" t="n">
        <v>745</v>
      </c>
    </row>
    <row r="8">
      <c r="A8" s="16">
        <f> Lucro Operacional</f>
        <v/>
      </c>
      <c r="B8" s="10" t="n">
        <v>8988.389999999999</v>
      </c>
      <c r="C8" s="10" t="n">
        <v>9825.879999999999</v>
      </c>
      <c r="D8" s="10" t="n">
        <v>11625.86</v>
      </c>
      <c r="E8" s="10" t="n">
        <v>12965.84</v>
      </c>
      <c r="F8" s="10" t="n">
        <v>14138.33</v>
      </c>
      <c r="G8" s="10" t="n">
        <v>57544.3</v>
      </c>
    </row>
    <row r="9">
      <c r="A9" s="9" t="inlineStr">
        <is>
          <t>(-) Imposto (HÍBRIDO)</t>
        </is>
      </c>
      <c r="B9" s="10" t="n">
        <v>1348.26</v>
      </c>
      <c r="C9" s="10" t="n">
        <v>1473.88</v>
      </c>
      <c r="D9" s="10" t="n">
        <v>722.8200000000001</v>
      </c>
      <c r="E9" s="10" t="n">
        <v>805.4299999999999</v>
      </c>
      <c r="F9" s="10" t="n">
        <v>877.71</v>
      </c>
      <c r="G9" s="10" t="n">
        <v>5228.1</v>
      </c>
    </row>
    <row r="10">
      <c r="A10" s="16">
        <f> Lucro Líquido</f>
        <v/>
      </c>
      <c r="B10" s="11" t="n">
        <v>7640.13</v>
      </c>
      <c r="C10" s="11" t="n">
        <v>8352</v>
      </c>
      <c r="D10" s="11" t="n">
        <v>10903.04</v>
      </c>
      <c r="E10" s="11" t="n">
        <v>12160.41</v>
      </c>
      <c r="F10" s="11" t="n">
        <v>13260.62</v>
      </c>
      <c r="G10" s="17" t="n">
        <v>52316.2</v>
      </c>
    </row>
    <row r="13">
      <c r="A13" t="inlineStr">
        <is>
          <t>Notas:</t>
        </is>
      </c>
    </row>
    <row r="14">
      <c r="A14" t="inlineStr">
        <is>
          <t>• Custo médio R$68,50 (AliExpress) → margem bruta ~73,5%</t>
        </is>
      </c>
    </row>
    <row r="15">
      <c r="A15" t="inlineStr">
        <is>
          <t>• Taxas 8% blended (estratégia Shopify) + R$1,50 fixo</t>
        </is>
      </c>
    </row>
    <row r="16">
      <c r="A16" t="inlineStr">
        <is>
          <t>• Lucro Líquido TOTAL: R$ 52316.2</t>
        </is>
      </c>
    </row>
    <row r="17">
      <c r="A17" t="inlineStr">
        <is>
          <t>• Receita total: R$ 89836.2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FLUXO DE CAIXA — Ago-Dez 2026 (OTIMIZADO)</t>
        </is>
      </c>
    </row>
    <row r="3">
      <c r="A3" s="8" t="inlineStr">
        <is>
          <t>Item</t>
        </is>
      </c>
      <c r="B3" s="8" t="inlineStr">
        <is>
          <t>Agosto</t>
        </is>
      </c>
      <c r="C3" s="8" t="inlineStr">
        <is>
          <t>Setembro</t>
        </is>
      </c>
      <c r="D3" s="8" t="inlineStr">
        <is>
          <t>Outubro</t>
        </is>
      </c>
      <c r="E3" s="8" t="inlineStr">
        <is>
          <t>Novembro</t>
        </is>
      </c>
      <c r="F3" s="8" t="inlineStr">
        <is>
          <t>Dezembro</t>
        </is>
      </c>
    </row>
    <row r="4">
      <c r="A4" s="9" t="inlineStr">
        <is>
          <t>Saldo Inicial</t>
        </is>
      </c>
      <c r="B4" s="10" t="n">
        <v>1000</v>
      </c>
      <c r="C4" s="10" t="n">
        <v>9858.49</v>
      </c>
      <c r="D4" s="10" t="n">
        <v>19539.61</v>
      </c>
      <c r="E4" s="10" t="n">
        <v>31993.29</v>
      </c>
      <c r="F4" s="10" t="n">
        <v>45881.56</v>
      </c>
    </row>
    <row r="5">
      <c r="A5" s="9" t="inlineStr">
        <is>
          <t>(+) Receita de Vendas</t>
        </is>
      </c>
      <c r="B5" s="10" t="n">
        <v>14198.25</v>
      </c>
      <c r="C5" s="10" t="n">
        <v>15489</v>
      </c>
      <c r="D5" s="10" t="n">
        <v>18070.5</v>
      </c>
      <c r="E5" s="10" t="n">
        <v>20135.7</v>
      </c>
      <c r="F5" s="10" t="n">
        <v>21942.75</v>
      </c>
    </row>
    <row r="6">
      <c r="A6" s="9" t="inlineStr">
        <is>
          <t>(-) Custo Produto</t>
        </is>
      </c>
      <c r="B6" s="10" t="n">
        <v>3767.5</v>
      </c>
      <c r="C6" s="10" t="n">
        <v>4110</v>
      </c>
      <c r="D6" s="10" t="n">
        <v>4795</v>
      </c>
      <c r="E6" s="10" t="n">
        <v>5343</v>
      </c>
      <c r="F6" s="10" t="n">
        <v>5822.5</v>
      </c>
    </row>
    <row r="7">
      <c r="A7" s="9" t="inlineStr">
        <is>
          <t>(-) Despesas Operacionais</t>
        </is>
      </c>
      <c r="B7" s="10" t="n">
        <v>224</v>
      </c>
      <c r="C7" s="10" t="n">
        <v>224</v>
      </c>
      <c r="D7" s="10" t="n">
        <v>99</v>
      </c>
      <c r="E7" s="10" t="n">
        <v>99</v>
      </c>
      <c r="F7" s="10" t="n">
        <v>99</v>
      </c>
    </row>
    <row r="8">
      <c r="A8" s="9" t="inlineStr">
        <is>
          <t>(-) Imposto</t>
        </is>
      </c>
      <c r="B8" s="10" t="n">
        <v>1348.26</v>
      </c>
      <c r="C8" s="10" t="n">
        <v>1473.88</v>
      </c>
      <c r="D8" s="10" t="n">
        <v>722.8200000000001</v>
      </c>
      <c r="E8" s="10" t="n">
        <v>805.4299999999999</v>
      </c>
      <c r="F8" s="10" t="n">
        <v>877.71</v>
      </c>
    </row>
    <row r="9">
      <c r="A9" s="16">
        <f> Saldo Final</f>
        <v/>
      </c>
      <c r="B9" s="11" t="n">
        <v>9858.49</v>
      </c>
      <c r="C9" s="11" t="n">
        <v>19539.61</v>
      </c>
      <c r="D9" s="11" t="n">
        <v>31993.29</v>
      </c>
      <c r="E9" s="11" t="n">
        <v>45881.56</v>
      </c>
      <c r="F9" s="11" t="n">
        <v>61025.1</v>
      </c>
    </row>
    <row r="12">
      <c r="A12" s="18" t="inlineStr">
        <is>
          <t>Caixa Final Dezembro: R$ 61025.1</t>
        </is>
      </c>
    </row>
    <row r="13">
      <c r="A13" t="inlineStr">
        <is>
          <t>Caixa nunca negativa — validado</t>
        </is>
      </c>
    </row>
    <row r="14">
      <c r="A14" t="inlineStr">
        <is>
          <t>Melhoria vs original: caixa final ~R$61.000 (vs ~R$45.000)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3" t="inlineStr">
        <is>
          <t>REGIME TRIBUTÁRIO — ANÁLISE COMPARATIVA</t>
        </is>
      </c>
    </row>
    <row r="3">
      <c r="A3" t="inlineStr">
        <is>
          <t>SITUAÇÃO HÍBRIDA (Ago-Dez 2026)</t>
        </is>
      </c>
    </row>
    <row r="5">
      <c r="A5" s="8" t="inlineStr">
        <is>
          <t>Característica</t>
        </is>
      </c>
      <c r="B5" s="8" t="inlineStr">
        <is>
          <t>Ago-Set (PF)</t>
        </is>
      </c>
      <c r="C5" s="8" t="inlineStr">
        <is>
          <t>Out-Dez (CNPJ)</t>
        </is>
      </c>
      <c r="D5" s="8" t="inlineStr">
        <is>
          <t>Diferença</t>
        </is>
      </c>
    </row>
    <row r="6">
      <c r="A6" t="inlineStr">
        <is>
          <t>Base de Cálculo</t>
        </is>
      </c>
      <c r="B6" t="inlineStr">
        <is>
          <t>Lucro Operacional</t>
        </is>
      </c>
      <c r="C6" t="inlineStr">
        <is>
          <t>Receita Bruta</t>
        </is>
      </c>
    </row>
    <row r="7">
      <c r="A7" t="inlineStr">
        <is>
          <t>Alíquota Efetiva</t>
        </is>
      </c>
      <c r="B7" t="n">
        <v>0.15</v>
      </c>
      <c r="C7" t="n">
        <v>0.04</v>
      </c>
      <c r="D7" t="inlineStr">
        <is>
          <t>-11 pp</t>
        </is>
      </c>
    </row>
    <row r="9">
      <c r="A9" s="4" t="inlineStr">
        <is>
          <t>RECOMENDAÇÃO</t>
        </is>
      </c>
    </row>
    <row r="10">
      <c r="A10" t="inlineStr">
        <is>
          <t>Transição para CNPJ/Simples em OUTUBRO economiza ~11 pontos percentuais de imposto.</t>
        </is>
      </c>
    </row>
    <row r="11">
      <c r="A11" t="inlineStr">
        <is>
          <t>Benefício: Lucro líquido aumenta significativamente na transição (Out-Dez).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2026-08-06T18:39:51Z</dcterms:created>
  <dcterms:modified xmlns:dcterms="http://purl.org/dc/terms/" xmlns:xsi="http://www.w3.org/2001/XMLSchema-instance" xsi:type="dcterms:W3CDTF">2026-08-06T18:39:51Z</dcterms:modified>
</cp:coreProperties>
</file>